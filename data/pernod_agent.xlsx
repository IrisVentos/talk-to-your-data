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stle-my.sharepoint.com/personal/iris_ventos_fr_nestle_com/Documents/Documents/RH/Interviews/"/>
    </mc:Choice>
  </mc:AlternateContent>
  <xr:revisionPtr revIDLastSave="90" documentId="8_{34D57472-1A5A-4553-86A8-C854D11D7C65}" xr6:coauthVersionLast="47" xr6:coauthVersionMax="47" xr10:uidLastSave="{489AAC91-47C6-4CF6-AFDF-5D7466E4CA7E}"/>
  <bookViews>
    <workbookView xWindow="-110" yWindow="-110" windowWidth="19420" windowHeight="11500" activeTab="2" xr2:uid="{7D60F021-96A5-483F-A60D-A109062A64DB}"/>
  </bookViews>
  <sheets>
    <sheet name="Sales" sheetId="1" r:id="rId1"/>
    <sheet name="HR" sheetId="2" r:id="rId2"/>
    <sheet name="Financial_KP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2" i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<sst xmlns="http://schemas.openxmlformats.org/spreadsheetml/2006/main" count="164" uniqueCount="94">
  <si>
    <t>Month</t>
  </si>
  <si>
    <t>Product Name</t>
  </si>
  <si>
    <t>Category</t>
  </si>
  <si>
    <t>Region</t>
  </si>
  <si>
    <t>Units Sold</t>
  </si>
  <si>
    <t>Unit Price ($)</t>
  </si>
  <si>
    <t>Total Revenue ($)</t>
  </si>
  <si>
    <t>Discount (%)</t>
  </si>
  <si>
    <t>Net Revenue ($)</t>
  </si>
  <si>
    <t>Sales Rep</t>
  </si>
  <si>
    <t>Alice Martin</t>
  </si>
  <si>
    <t>Bob Chen</t>
  </si>
  <si>
    <t>Clara Rossi</t>
  </si>
  <si>
    <t>David Park</t>
  </si>
  <si>
    <t>Scotch Whisky</t>
  </si>
  <si>
    <t>Ballantine's</t>
  </si>
  <si>
    <t>Martell</t>
  </si>
  <si>
    <t>Cognac</t>
  </si>
  <si>
    <t>Absolut</t>
  </si>
  <si>
    <t>Vodka</t>
  </si>
  <si>
    <t>Mumm</t>
  </si>
  <si>
    <t>Champagne</t>
  </si>
  <si>
    <t>Europe</t>
  </si>
  <si>
    <t>US</t>
  </si>
  <si>
    <t>Employee ID</t>
  </si>
  <si>
    <t>Full Name</t>
  </si>
  <si>
    <t>Department</t>
  </si>
  <si>
    <t>Job Title</t>
  </si>
  <si>
    <t>Contract Type</t>
  </si>
  <si>
    <t>Start Date</t>
  </si>
  <si>
    <t>Years at Company</t>
  </si>
  <si>
    <t>Annual Salary ($)</t>
  </si>
  <si>
    <t>Bonus (%)</t>
  </si>
  <si>
    <t>Annual Bonus ($)</t>
  </si>
  <si>
    <t>Status</t>
  </si>
  <si>
    <t>EMP001</t>
  </si>
  <si>
    <t>Sales</t>
  </si>
  <si>
    <t>Senior Sales Rep</t>
  </si>
  <si>
    <t>Full-Time</t>
  </si>
  <si>
    <t>Active</t>
  </si>
  <si>
    <t>EMP002</t>
  </si>
  <si>
    <t>EMP003</t>
  </si>
  <si>
    <t>Regional Manager</t>
  </si>
  <si>
    <t>EMP004</t>
  </si>
  <si>
    <t>EMP005</t>
  </si>
  <si>
    <t>Emma Dubois</t>
  </si>
  <si>
    <t>Marketing</t>
  </si>
  <si>
    <t>Brand Manager</t>
  </si>
  <si>
    <t>EMP006</t>
  </si>
  <si>
    <t>Luca Bianchi</t>
  </si>
  <si>
    <t>Content Specialist</t>
  </si>
  <si>
    <t>Part-Time</t>
  </si>
  <si>
    <t>EMP007</t>
  </si>
  <si>
    <t>Sophie Laurent</t>
  </si>
  <si>
    <t>Operations</t>
  </si>
  <si>
    <t>Logistics Coordinator</t>
  </si>
  <si>
    <t>EMP008</t>
  </si>
  <si>
    <t>James Wilson</t>
  </si>
  <si>
    <t>Warehouse Supervisor</t>
  </si>
  <si>
    <t>EMP009</t>
  </si>
  <si>
    <t>Nina Patel</t>
  </si>
  <si>
    <t>Finance</t>
  </si>
  <si>
    <t>Financial Analyst</t>
  </si>
  <si>
    <t>EMP010</t>
  </si>
  <si>
    <t>Marco Ferreira</t>
  </si>
  <si>
    <t>R&amp;D</t>
  </si>
  <si>
    <t>Beverage Scientist</t>
  </si>
  <si>
    <t>EMP011</t>
  </si>
  <si>
    <t>Sara Kim</t>
  </si>
  <si>
    <t>Product Developer</t>
  </si>
  <si>
    <t>EMP012</t>
  </si>
  <si>
    <t>Tom Hughes</t>
  </si>
  <si>
    <t>HR</t>
  </si>
  <si>
    <t>HR Manager</t>
  </si>
  <si>
    <t>Quarter</t>
  </si>
  <si>
    <t>Gross Revenue ($)</t>
  </si>
  <si>
    <t>COGS ($)</t>
  </si>
  <si>
    <t>Gross Profit ($)</t>
  </si>
  <si>
    <t>Gross Margin (%)</t>
  </si>
  <si>
    <t>Operating Expenses ($)</t>
  </si>
  <si>
    <t>EBITDA ($)</t>
  </si>
  <si>
    <t>EBITDA Margin (%)</t>
  </si>
  <si>
    <t>Net Profit ($)</t>
  </si>
  <si>
    <t>Net Margin (%)</t>
  </si>
  <si>
    <t>YoY Revenue Growth (%)</t>
  </si>
  <si>
    <t>Q1 2024</t>
  </si>
  <si>
    <t>N/A</t>
  </si>
  <si>
    <t>Q2 2024</t>
  </si>
  <si>
    <t>Q3 2024</t>
  </si>
  <si>
    <t>Q4 2024</t>
  </si>
  <si>
    <t>Q1 2025</t>
  </si>
  <si>
    <t>Q2 2025</t>
  </si>
  <si>
    <t>Q3 2025</t>
  </si>
  <si>
    <t>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</si>
</sst>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7" fontId="2" fillId="0" borderId="2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2" fillId="0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2DF41CB3-D3CC-4971-9E59-6925C525D7B5}"/>
  </cellStyles>
  <dxfs count="32"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14F62-0D62-48F2-86A3-64FB4093BE93}" name="Table1" displayName="Table1" ref="A1:J13" totalsRowShown="0" headerRowDxfId="17" dataDxfId="18" headerRowBorderDxfId="30" tableBorderDxfId="31" totalsRowBorderDxfId="29" headerRowCellStyle="Normal 2">
  <autoFilter ref="A1:J13" xr:uid="{4F014F62-0D62-48F2-86A3-64FB4093BE93}"/>
  <tableColumns count="10">
    <tableColumn id="1" xr3:uid="{87EA9024-D587-4AD6-94BD-E363BA294F4C}" name="Month" dataDxfId="28"/>
    <tableColumn id="2" xr3:uid="{4AB5736E-D63E-4AE2-9BA7-54FEAE65D8B7}" name="Product Name" dataDxfId="27"/>
    <tableColumn id="3" xr3:uid="{3BABA9E3-8DBD-4D61-9A2C-05380FA1B56A}" name="Category" dataDxfId="26"/>
    <tableColumn id="4" xr3:uid="{EFD847DE-A622-4909-8EC4-31F4CFAB2DF8}" name="Region" dataDxfId="25"/>
    <tableColumn id="5" xr3:uid="{566EF8FB-AEFA-4F85-8E50-CBE0A6AAD5B9}" name="Units Sold" dataDxfId="24"/>
    <tableColumn id="6" xr3:uid="{91F6ADAA-B123-49A8-9C8A-5515D2056CF9}" name="Unit Price ($)" dataDxfId="23"/>
    <tableColumn id="7" xr3:uid="{0E5C1E78-5730-40C1-B5AC-D8EA3343C306}" name="Total Revenue ($)" dataDxfId="22">
      <calculatedColumnFormula>Table1[[#This Row],[Units Sold]]*Table1[[#This Row],[Unit Price ($)]]</calculatedColumnFormula>
    </tableColumn>
    <tableColumn id="8" xr3:uid="{6AEF71FB-2FF3-4D8E-AAFF-A977B1DB3639}" name="Discount (%)" dataDxfId="21"/>
    <tableColumn id="9" xr3:uid="{562040FC-8896-4415-B38F-E4386A6A8BB9}" name="Net Revenue ($)" dataDxfId="20">
      <calculatedColumnFormula>Table1[[#This Row],[Total Revenue ($)]]*(100-Table1[[#This Row],[Discount (%)]])/100</calculatedColumnFormula>
    </tableColumn>
    <tableColumn id="10" xr3:uid="{F8AD548D-C5B0-4F45-9111-3E2D3D93A2CA}" name="Sales Rep" dataDxfId="1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E8A77C-6C62-493D-8254-2B6DBC688CB3}" name="Table2" displayName="Table2" ref="A1:K13" totalsRowShown="0">
  <autoFilter ref="A1:K13" xr:uid="{FCE8A77C-6C62-493D-8254-2B6DBC688CB3}"/>
  <tableColumns count="11">
    <tableColumn id="1" xr3:uid="{C348C616-F7A3-4517-B455-1BB1B8627CCD}" name="Employee ID"/>
    <tableColumn id="2" xr3:uid="{D887B210-39EF-4902-9E43-3E65E32B9E66}" name="Full Name"/>
    <tableColumn id="3" xr3:uid="{F8B3743E-FF05-4AAF-9D63-CA1D5E7DF8FA}" name="Department"/>
    <tableColumn id="4" xr3:uid="{162866AD-A6D1-4F43-8DF2-B7873AEE5120}" name="Job Title"/>
    <tableColumn id="5" xr3:uid="{4B90B3A2-E0D3-4E20-8D26-3691D29D6719}" name="Contract Type"/>
    <tableColumn id="6" xr3:uid="{D9791086-0DEE-4709-8243-1E91C9A6D6E9}" name="Start Date" dataDxfId="16"/>
    <tableColumn id="7" xr3:uid="{7185EAE1-95D2-4185-835B-41547769DE71}" name="Years at Company"/>
    <tableColumn id="8" xr3:uid="{45C480ED-0D9D-49A3-A11D-B465E00BEB89}" name="Annual Salary ($)"/>
    <tableColumn id="9" xr3:uid="{51962D45-62C0-465C-A246-C24726836011}" name="Bonus (%)"/>
    <tableColumn id="10" xr3:uid="{F2FC4F5E-F71E-4D0C-8B56-CA9D94BDFE83}" name="Annual Bonus ($)"/>
    <tableColumn id="11" xr3:uid="{8ECBF4DE-BB11-48BD-A43B-AE32662CD5E8}" name="Statu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F12987-A745-4CE3-AE32-B8DCB9D78112}" name="Table3" displayName="Table3" ref="A1:K9" totalsRowShown="0" headerRowDxfId="1" dataDxfId="0" headerRowBorderDxfId="14" tableBorderDxfId="15" totalsRowBorderDxfId="13" headerRowCellStyle="Normal 2">
  <autoFilter ref="A1:K9" xr:uid="{D6F12987-A745-4CE3-AE32-B8DCB9D78112}"/>
  <tableColumns count="11">
    <tableColumn id="1" xr3:uid="{BD7C5984-2135-482F-8CFB-83587A5F1494}" name="Quarter" dataDxfId="12"/>
    <tableColumn id="2" xr3:uid="{AAC1D04F-765D-49E0-B7A6-C049D0AC72C5}" name="Gross Revenue ($)" dataDxfId="11"/>
    <tableColumn id="3" xr3:uid="{1C42490E-D01B-464A-A8F0-9AC1E116FD90}" name="COGS ($)" dataDxfId="10"/>
    <tableColumn id="4" xr3:uid="{FCF3225F-BF56-4CBB-81EA-ECFAA3556052}" name="Gross Profit ($)" dataDxfId="9"/>
    <tableColumn id="5" xr3:uid="{45243166-399D-4B51-8F62-929483DE39F4}" name="Gross Margin (%)" dataDxfId="8"/>
    <tableColumn id="6" xr3:uid="{B5CCEBA2-D937-4E7B-A8D6-0A689785575C}" name="Operating Expenses ($)" dataDxfId="7"/>
    <tableColumn id="7" xr3:uid="{1A4A55BA-3377-4FCA-9E0B-D011E190CBB0}" name="EBITDA ($)" dataDxfId="6"/>
    <tableColumn id="8" xr3:uid="{BDA642E7-DB2F-40F7-8AA2-0722C37EE9ED}" name="EBITDA Margin (%)" dataDxfId="5"/>
    <tableColumn id="9" xr3:uid="{B50B61BB-CB85-4E14-9C44-616B6AB36C6E}" name="Net Profit ($)" dataDxfId="4"/>
    <tableColumn id="10" xr3:uid="{12EED601-EAB5-467B-BD4F-E37D4DD1A70E}" name="Net Margin (%)" dataDxfId="3"/>
    <tableColumn id="11" xr3:uid="{4D804646-E84F-46CA-87D0-158C57FF82CD}" name="YoY Revenue Growth (%)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B8A0-54B6-4B38-813D-247DD9EF24DE}">
  <dimension ref="A1:J13"/>
  <sheetViews>
    <sheetView workbookViewId="0">
      <selection activeCell="B15" sqref="B15"/>
    </sheetView>
  </sheetViews>
  <sheetFormatPr defaultRowHeight="14.5" x14ac:dyDescent="0.35"/>
  <cols>
    <col min="1" max="1" width="12.36328125" customWidth="1"/>
    <col min="2" max="2" width="21.7265625" customWidth="1"/>
    <col min="3" max="3" width="17" customWidth="1"/>
    <col min="4" max="4" width="12.453125" customWidth="1"/>
    <col min="5" max="5" width="11.6328125" customWidth="1"/>
    <col min="6" max="6" width="18" customWidth="1"/>
    <col min="7" max="7" width="21.81640625" customWidth="1"/>
    <col min="8" max="8" width="13.81640625" customWidth="1"/>
    <col min="9" max="9" width="19.54296875" customWidth="1"/>
    <col min="10" max="10" width="11.36328125" customWidth="1"/>
  </cols>
  <sheetData>
    <row r="1" spans="1:10" s="7" customForma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35">
      <c r="A2" s="1">
        <v>46023</v>
      </c>
      <c r="B2" s="2" t="s">
        <v>15</v>
      </c>
      <c r="C2" s="2" t="s">
        <v>14</v>
      </c>
      <c r="D2" s="2" t="s">
        <v>22</v>
      </c>
      <c r="E2" s="2">
        <v>12400</v>
      </c>
      <c r="F2" s="2">
        <v>12</v>
      </c>
      <c r="G2" s="2">
        <f>Table1[[#This Row],[Units Sold]]*Table1[[#This Row],[Unit Price ($)]]</f>
        <v>148800</v>
      </c>
      <c r="H2" s="2">
        <v>5</v>
      </c>
      <c r="I2" s="2">
        <f>Table1[[#This Row],[Total Revenue ($)]]*(100-Table1[[#This Row],[Discount (%)]])/100</f>
        <v>141360</v>
      </c>
      <c r="J2" s="3" t="s">
        <v>10</v>
      </c>
    </row>
    <row r="3" spans="1:10" x14ac:dyDescent="0.35">
      <c r="A3" s="1">
        <v>46023</v>
      </c>
      <c r="B3" s="2" t="s">
        <v>16</v>
      </c>
      <c r="C3" s="2" t="s">
        <v>17</v>
      </c>
      <c r="D3" s="2" t="s">
        <v>23</v>
      </c>
      <c r="E3" s="2">
        <v>8750</v>
      </c>
      <c r="F3" s="2">
        <v>13</v>
      </c>
      <c r="G3" s="2">
        <f>Table1[[#This Row],[Units Sold]]*Table1[[#This Row],[Unit Price ($)]]</f>
        <v>113750</v>
      </c>
      <c r="H3" s="2">
        <v>8</v>
      </c>
      <c r="I3" s="2">
        <f>Table1[[#This Row],[Total Revenue ($)]]*(100-Table1[[#This Row],[Discount (%)]])/100</f>
        <v>104650</v>
      </c>
      <c r="J3" s="3" t="s">
        <v>11</v>
      </c>
    </row>
    <row r="4" spans="1:10" x14ac:dyDescent="0.35">
      <c r="A4" s="1">
        <v>46023</v>
      </c>
      <c r="B4" s="2" t="s">
        <v>18</v>
      </c>
      <c r="C4" s="2" t="s">
        <v>19</v>
      </c>
      <c r="D4" s="2" t="s">
        <v>22</v>
      </c>
      <c r="E4" s="2">
        <v>15200</v>
      </c>
      <c r="F4" s="2">
        <v>14</v>
      </c>
      <c r="G4" s="2">
        <f>Table1[[#This Row],[Units Sold]]*Table1[[#This Row],[Unit Price ($)]]</f>
        <v>212800</v>
      </c>
      <c r="H4" s="2">
        <v>3</v>
      </c>
      <c r="I4" s="2">
        <f>Table1[[#This Row],[Total Revenue ($)]]*(100-Table1[[#This Row],[Discount (%)]])/100</f>
        <v>206416</v>
      </c>
      <c r="J4" s="3" t="s">
        <v>12</v>
      </c>
    </row>
    <row r="5" spans="1:10" x14ac:dyDescent="0.35">
      <c r="A5" s="1">
        <v>46023</v>
      </c>
      <c r="B5" s="2" t="s">
        <v>20</v>
      </c>
      <c r="C5" s="2" t="s">
        <v>21</v>
      </c>
      <c r="D5" s="2" t="s">
        <v>23</v>
      </c>
      <c r="E5" s="2">
        <v>9300</v>
      </c>
      <c r="F5" s="2">
        <v>15</v>
      </c>
      <c r="G5" s="2">
        <f>Table1[[#This Row],[Units Sold]]*Table1[[#This Row],[Unit Price ($)]]</f>
        <v>139500</v>
      </c>
      <c r="H5" s="2">
        <v>0</v>
      </c>
      <c r="I5" s="2">
        <f>Table1[[#This Row],[Total Revenue ($)]]*(100-Table1[[#This Row],[Discount (%)]])/100</f>
        <v>139500</v>
      </c>
      <c r="J5" s="3" t="s">
        <v>13</v>
      </c>
    </row>
    <row r="6" spans="1:10" x14ac:dyDescent="0.35">
      <c r="A6" s="1">
        <v>46054</v>
      </c>
      <c r="B6" s="2" t="s">
        <v>15</v>
      </c>
      <c r="C6" s="2" t="s">
        <v>14</v>
      </c>
      <c r="D6" s="2" t="s">
        <v>22</v>
      </c>
      <c r="E6" s="2">
        <v>13100</v>
      </c>
      <c r="F6" s="2">
        <v>12</v>
      </c>
      <c r="G6" s="2">
        <f>Table1[[#This Row],[Units Sold]]*Table1[[#This Row],[Unit Price ($)]]</f>
        <v>157200</v>
      </c>
      <c r="H6" s="2">
        <v>5</v>
      </c>
      <c r="I6" s="2">
        <f>Table1[[#This Row],[Total Revenue ($)]]*(100-Table1[[#This Row],[Discount (%)]])/100</f>
        <v>149340</v>
      </c>
      <c r="J6" s="3" t="s">
        <v>10</v>
      </c>
    </row>
    <row r="7" spans="1:10" x14ac:dyDescent="0.35">
      <c r="A7" s="1">
        <v>46054</v>
      </c>
      <c r="B7" s="2" t="s">
        <v>16</v>
      </c>
      <c r="C7" s="2" t="s">
        <v>17</v>
      </c>
      <c r="D7" s="2" t="s">
        <v>23</v>
      </c>
      <c r="E7" s="2">
        <v>7200</v>
      </c>
      <c r="F7" s="2">
        <v>13</v>
      </c>
      <c r="G7" s="2">
        <f>Table1[[#This Row],[Units Sold]]*Table1[[#This Row],[Unit Price ($)]]</f>
        <v>93600</v>
      </c>
      <c r="H7" s="2">
        <v>10</v>
      </c>
      <c r="I7" s="2">
        <f>Table1[[#This Row],[Total Revenue ($)]]*(100-Table1[[#This Row],[Discount (%)]])/100</f>
        <v>84240</v>
      </c>
      <c r="J7" s="3" t="s">
        <v>11</v>
      </c>
    </row>
    <row r="8" spans="1:10" x14ac:dyDescent="0.35">
      <c r="A8" s="1">
        <v>46054</v>
      </c>
      <c r="B8" s="2" t="s">
        <v>18</v>
      </c>
      <c r="C8" s="2" t="s">
        <v>19</v>
      </c>
      <c r="D8" s="2" t="s">
        <v>22</v>
      </c>
      <c r="E8" s="2">
        <v>16800</v>
      </c>
      <c r="F8" s="2">
        <v>14</v>
      </c>
      <c r="G8" s="2">
        <f>Table1[[#This Row],[Units Sold]]*Table1[[#This Row],[Unit Price ($)]]</f>
        <v>235200</v>
      </c>
      <c r="H8" s="2">
        <v>3</v>
      </c>
      <c r="I8" s="2">
        <f>Table1[[#This Row],[Total Revenue ($)]]*(100-Table1[[#This Row],[Discount (%)]])/100</f>
        <v>228144</v>
      </c>
      <c r="J8" s="3" t="s">
        <v>12</v>
      </c>
    </row>
    <row r="9" spans="1:10" x14ac:dyDescent="0.35">
      <c r="A9" s="1">
        <v>46054</v>
      </c>
      <c r="B9" s="2" t="s">
        <v>20</v>
      </c>
      <c r="C9" s="2" t="s">
        <v>21</v>
      </c>
      <c r="D9" s="2" t="s">
        <v>23</v>
      </c>
      <c r="E9" s="2">
        <v>11400</v>
      </c>
      <c r="F9" s="2">
        <v>15</v>
      </c>
      <c r="G9" s="2">
        <f>Table1[[#This Row],[Units Sold]]*Table1[[#This Row],[Unit Price ($)]]</f>
        <v>171000</v>
      </c>
      <c r="H9" s="2">
        <v>0</v>
      </c>
      <c r="I9" s="2">
        <f>Table1[[#This Row],[Total Revenue ($)]]*(100-Table1[[#This Row],[Discount (%)]])/100</f>
        <v>171000</v>
      </c>
      <c r="J9" s="3" t="s">
        <v>13</v>
      </c>
    </row>
    <row r="10" spans="1:10" x14ac:dyDescent="0.35">
      <c r="A10" s="1">
        <v>46082</v>
      </c>
      <c r="B10" s="2" t="s">
        <v>15</v>
      </c>
      <c r="C10" s="2" t="s">
        <v>14</v>
      </c>
      <c r="D10" s="2" t="s">
        <v>22</v>
      </c>
      <c r="E10" s="2">
        <v>9600</v>
      </c>
      <c r="F10" s="2">
        <v>12</v>
      </c>
      <c r="G10" s="2">
        <f>Table1[[#This Row],[Units Sold]]*Table1[[#This Row],[Unit Price ($)]]</f>
        <v>115200</v>
      </c>
      <c r="H10" s="2">
        <v>6</v>
      </c>
      <c r="I10" s="2">
        <f>Table1[[#This Row],[Total Revenue ($)]]*(100-Table1[[#This Row],[Discount (%)]])/100</f>
        <v>108288</v>
      </c>
      <c r="J10" s="3" t="s">
        <v>10</v>
      </c>
    </row>
    <row r="11" spans="1:10" x14ac:dyDescent="0.35">
      <c r="A11" s="1">
        <v>46082</v>
      </c>
      <c r="B11" s="2" t="s">
        <v>16</v>
      </c>
      <c r="C11" s="2" t="s">
        <v>17</v>
      </c>
      <c r="D11" s="2" t="s">
        <v>23</v>
      </c>
      <c r="E11" s="2">
        <v>10500</v>
      </c>
      <c r="F11" s="2">
        <v>13</v>
      </c>
      <c r="G11" s="2">
        <f>Table1[[#This Row],[Units Sold]]*Table1[[#This Row],[Unit Price ($)]]</f>
        <v>136500</v>
      </c>
      <c r="H11" s="2">
        <v>7</v>
      </c>
      <c r="I11" s="2">
        <f>Table1[[#This Row],[Total Revenue ($)]]*(100-Table1[[#This Row],[Discount (%)]])/100</f>
        <v>126945</v>
      </c>
      <c r="J11" s="3" t="s">
        <v>11</v>
      </c>
    </row>
    <row r="12" spans="1:10" x14ac:dyDescent="0.35">
      <c r="A12" s="1">
        <v>46082</v>
      </c>
      <c r="B12" s="2" t="s">
        <v>18</v>
      </c>
      <c r="C12" s="2" t="s">
        <v>19</v>
      </c>
      <c r="D12" s="2" t="s">
        <v>22</v>
      </c>
      <c r="E12" s="2">
        <v>14300</v>
      </c>
      <c r="F12" s="2">
        <v>14</v>
      </c>
      <c r="G12" s="2">
        <f>Table1[[#This Row],[Units Sold]]*Table1[[#This Row],[Unit Price ($)]]</f>
        <v>200200</v>
      </c>
      <c r="H12" s="2">
        <v>4</v>
      </c>
      <c r="I12" s="2">
        <f>Table1[[#This Row],[Total Revenue ($)]]*(100-Table1[[#This Row],[Discount (%)]])/100</f>
        <v>192192</v>
      </c>
      <c r="J12" s="3" t="s">
        <v>12</v>
      </c>
    </row>
    <row r="13" spans="1:10" x14ac:dyDescent="0.35">
      <c r="A13" s="1">
        <v>46082</v>
      </c>
      <c r="B13" s="2" t="s">
        <v>20</v>
      </c>
      <c r="C13" s="2" t="s">
        <v>21</v>
      </c>
      <c r="D13" s="2" t="s">
        <v>23</v>
      </c>
      <c r="E13" s="2">
        <v>8100</v>
      </c>
      <c r="F13" s="2">
        <v>15</v>
      </c>
      <c r="G13" s="2">
        <f>Table1[[#This Row],[Units Sold]]*Table1[[#This Row],[Unit Price ($)]]</f>
        <v>121500</v>
      </c>
      <c r="H13" s="2">
        <v>0</v>
      </c>
      <c r="I13" s="2">
        <f>Table1[[#This Row],[Total Revenue ($)]]*(100-Table1[[#This Row],[Discount (%)]])/100</f>
        <v>121500</v>
      </c>
      <c r="J13" s="3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8046-B12F-472A-8F30-FEA7BE34B6CF}">
  <dimension ref="A1:K13"/>
  <sheetViews>
    <sheetView workbookViewId="0">
      <selection activeCell="D16" sqref="D16"/>
    </sheetView>
  </sheetViews>
  <sheetFormatPr defaultRowHeight="14.5" x14ac:dyDescent="0.35"/>
  <cols>
    <col min="1" max="1" width="12.7265625" customWidth="1"/>
    <col min="2" max="2" width="17.26953125" customWidth="1"/>
    <col min="3" max="3" width="18" customWidth="1"/>
    <col min="4" max="4" width="15.36328125" customWidth="1"/>
    <col min="5" max="5" width="14.08984375" customWidth="1"/>
    <col min="6" max="6" width="11" customWidth="1"/>
    <col min="7" max="7" width="17.36328125" customWidth="1"/>
    <col min="8" max="8" width="16.26953125" customWidth="1"/>
    <col min="9" max="9" width="11" customWidth="1"/>
    <col min="10" max="10" width="16.36328125" customWidth="1"/>
  </cols>
  <sheetData>
    <row r="1" spans="1:11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x14ac:dyDescent="0.35">
      <c r="A2" t="s">
        <v>35</v>
      </c>
      <c r="B2" t="s">
        <v>10</v>
      </c>
      <c r="C2" t="s">
        <v>36</v>
      </c>
      <c r="D2" t="s">
        <v>37</v>
      </c>
      <c r="E2" t="s">
        <v>38</v>
      </c>
      <c r="F2" s="8">
        <v>43539</v>
      </c>
      <c r="G2">
        <v>6</v>
      </c>
      <c r="H2">
        <v>62000</v>
      </c>
      <c r="I2">
        <v>8</v>
      </c>
      <c r="J2">
        <v>4960</v>
      </c>
      <c r="K2" t="s">
        <v>39</v>
      </c>
    </row>
    <row r="3" spans="1:11" x14ac:dyDescent="0.35">
      <c r="A3" t="s">
        <v>40</v>
      </c>
      <c r="B3" t="s">
        <v>11</v>
      </c>
      <c r="C3" t="s">
        <v>36</v>
      </c>
      <c r="D3" t="s">
        <v>9</v>
      </c>
      <c r="E3" t="s">
        <v>38</v>
      </c>
      <c r="F3" s="8">
        <v>44348</v>
      </c>
      <c r="G3">
        <v>4</v>
      </c>
      <c r="H3">
        <v>48000</v>
      </c>
      <c r="I3">
        <v>6</v>
      </c>
      <c r="J3">
        <v>2880</v>
      </c>
      <c r="K3" t="s">
        <v>39</v>
      </c>
    </row>
    <row r="4" spans="1:11" x14ac:dyDescent="0.35">
      <c r="A4" t="s">
        <v>41</v>
      </c>
      <c r="B4" t="s">
        <v>12</v>
      </c>
      <c r="C4" t="s">
        <v>36</v>
      </c>
      <c r="D4" t="s">
        <v>42</v>
      </c>
      <c r="E4" t="s">
        <v>38</v>
      </c>
      <c r="F4" s="8">
        <v>42745</v>
      </c>
      <c r="G4">
        <v>8</v>
      </c>
      <c r="H4">
        <v>85000</v>
      </c>
      <c r="I4">
        <v>12</v>
      </c>
      <c r="J4">
        <v>10200</v>
      </c>
      <c r="K4" t="s">
        <v>39</v>
      </c>
    </row>
    <row r="5" spans="1:11" x14ac:dyDescent="0.35">
      <c r="A5" t="s">
        <v>43</v>
      </c>
      <c r="B5" t="s">
        <v>13</v>
      </c>
      <c r="C5" t="s">
        <v>36</v>
      </c>
      <c r="D5" t="s">
        <v>9</v>
      </c>
      <c r="E5" t="s">
        <v>38</v>
      </c>
      <c r="F5" s="8">
        <v>44824</v>
      </c>
      <c r="G5">
        <v>3</v>
      </c>
      <c r="H5">
        <v>45000</v>
      </c>
      <c r="I5">
        <v>5</v>
      </c>
      <c r="J5">
        <v>2250</v>
      </c>
      <c r="K5" t="s">
        <v>39</v>
      </c>
    </row>
    <row r="6" spans="1:11" x14ac:dyDescent="0.35">
      <c r="A6" t="s">
        <v>44</v>
      </c>
      <c r="B6" t="s">
        <v>45</v>
      </c>
      <c r="C6" t="s">
        <v>46</v>
      </c>
      <c r="D6" t="s">
        <v>47</v>
      </c>
      <c r="E6" t="s">
        <v>38</v>
      </c>
      <c r="F6" s="8">
        <v>43286</v>
      </c>
      <c r="G6">
        <v>7</v>
      </c>
      <c r="H6">
        <v>72000</v>
      </c>
      <c r="I6">
        <v>10</v>
      </c>
      <c r="J6">
        <v>7200</v>
      </c>
      <c r="K6" t="s">
        <v>39</v>
      </c>
    </row>
    <row r="7" spans="1:11" x14ac:dyDescent="0.35">
      <c r="A7" t="s">
        <v>48</v>
      </c>
      <c r="B7" t="s">
        <v>49</v>
      </c>
      <c r="C7" t="s">
        <v>46</v>
      </c>
      <c r="D7" t="s">
        <v>50</v>
      </c>
      <c r="E7" t="s">
        <v>51</v>
      </c>
      <c r="F7" s="8">
        <v>44971</v>
      </c>
      <c r="G7">
        <v>2</v>
      </c>
      <c r="H7">
        <v>32000</v>
      </c>
      <c r="I7">
        <v>4</v>
      </c>
      <c r="J7">
        <v>1280</v>
      </c>
      <c r="K7" t="s">
        <v>39</v>
      </c>
    </row>
    <row r="8" spans="1:11" x14ac:dyDescent="0.35">
      <c r="A8" t="s">
        <v>52</v>
      </c>
      <c r="B8" t="s">
        <v>53</v>
      </c>
      <c r="C8" t="s">
        <v>54</v>
      </c>
      <c r="D8" t="s">
        <v>55</v>
      </c>
      <c r="E8" t="s">
        <v>38</v>
      </c>
      <c r="F8" s="8">
        <v>44138</v>
      </c>
      <c r="G8">
        <v>5</v>
      </c>
      <c r="H8">
        <v>54000</v>
      </c>
      <c r="I8">
        <v>6</v>
      </c>
      <c r="J8">
        <v>3240</v>
      </c>
      <c r="K8" t="s">
        <v>39</v>
      </c>
    </row>
    <row r="9" spans="1:11" x14ac:dyDescent="0.35">
      <c r="A9" t="s">
        <v>56</v>
      </c>
      <c r="B9" t="s">
        <v>57</v>
      </c>
      <c r="C9" t="s">
        <v>54</v>
      </c>
      <c r="D9" t="s">
        <v>58</v>
      </c>
      <c r="E9" t="s">
        <v>38</v>
      </c>
      <c r="F9" s="8">
        <v>42512</v>
      </c>
      <c r="G9">
        <v>9</v>
      </c>
      <c r="H9">
        <v>67000</v>
      </c>
      <c r="I9">
        <v>8</v>
      </c>
      <c r="J9">
        <v>5360</v>
      </c>
      <c r="K9" t="s">
        <v>39</v>
      </c>
    </row>
    <row r="10" spans="1:11" x14ac:dyDescent="0.35">
      <c r="A10" t="s">
        <v>59</v>
      </c>
      <c r="B10" t="s">
        <v>60</v>
      </c>
      <c r="C10" t="s">
        <v>61</v>
      </c>
      <c r="D10" t="s">
        <v>62</v>
      </c>
      <c r="E10" t="s">
        <v>38</v>
      </c>
      <c r="F10" s="8">
        <v>44263</v>
      </c>
      <c r="G10">
        <v>4</v>
      </c>
      <c r="H10">
        <v>70000</v>
      </c>
      <c r="I10">
        <v>9</v>
      </c>
      <c r="J10">
        <v>6300</v>
      </c>
      <c r="K10" t="s">
        <v>39</v>
      </c>
    </row>
    <row r="11" spans="1:11" x14ac:dyDescent="0.35">
      <c r="A11" t="s">
        <v>63</v>
      </c>
      <c r="B11" t="s">
        <v>64</v>
      </c>
      <c r="C11" t="s">
        <v>65</v>
      </c>
      <c r="D11" t="s">
        <v>66</v>
      </c>
      <c r="E11" t="s">
        <v>38</v>
      </c>
      <c r="F11" s="8">
        <v>43755</v>
      </c>
      <c r="G11">
        <v>6</v>
      </c>
      <c r="H11">
        <v>78000</v>
      </c>
      <c r="I11">
        <v>10</v>
      </c>
      <c r="J11">
        <v>7800</v>
      </c>
      <c r="K11" t="s">
        <v>39</v>
      </c>
    </row>
    <row r="12" spans="1:11" x14ac:dyDescent="0.35">
      <c r="A12" t="s">
        <v>67</v>
      </c>
      <c r="B12" t="s">
        <v>68</v>
      </c>
      <c r="C12" t="s">
        <v>65</v>
      </c>
      <c r="D12" t="s">
        <v>69</v>
      </c>
      <c r="E12" t="s">
        <v>38</v>
      </c>
      <c r="F12" s="8">
        <v>44586</v>
      </c>
      <c r="G12">
        <v>3</v>
      </c>
      <c r="H12">
        <v>65000</v>
      </c>
      <c r="I12">
        <v>7</v>
      </c>
      <c r="J12">
        <v>4550</v>
      </c>
      <c r="K12" t="s">
        <v>39</v>
      </c>
    </row>
    <row r="13" spans="1:11" x14ac:dyDescent="0.35">
      <c r="A13" t="s">
        <v>70</v>
      </c>
      <c r="B13" t="s">
        <v>71</v>
      </c>
      <c r="C13" t="s">
        <v>72</v>
      </c>
      <c r="D13" t="s">
        <v>73</v>
      </c>
      <c r="E13" t="s">
        <v>38</v>
      </c>
      <c r="F13" s="8">
        <v>42246</v>
      </c>
      <c r="G13">
        <v>10</v>
      </c>
      <c r="H13">
        <v>80000</v>
      </c>
      <c r="I13">
        <v>11</v>
      </c>
      <c r="J13">
        <v>8800</v>
      </c>
      <c r="K13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7DBD-2619-4C7D-92A4-878CB18B91E7}">
  <dimension ref="A1:K9"/>
  <sheetViews>
    <sheetView tabSelected="1" workbookViewId="0">
      <selection activeCell="C21" sqref="C21"/>
    </sheetView>
  </sheetViews>
  <sheetFormatPr defaultRowHeight="14.5" x14ac:dyDescent="0.35"/>
  <cols>
    <col min="1" max="1" width="12" bestFit="1" customWidth="1"/>
    <col min="2" max="2" width="21.6328125" bestFit="1" customWidth="1"/>
    <col min="3" max="3" width="13.54296875" bestFit="1" customWidth="1"/>
    <col min="4" max="4" width="18.81640625" bestFit="1" customWidth="1"/>
    <col min="5" max="5" width="20.54296875" bestFit="1" customWidth="1"/>
    <col min="6" max="6" width="25.90625" bestFit="1" customWidth="1"/>
    <col min="7" max="7" width="14.7265625" bestFit="1" customWidth="1"/>
    <col min="8" max="8" width="19.1796875" customWidth="1"/>
    <col min="9" max="9" width="13.81640625" customWidth="1"/>
    <col min="10" max="10" width="17.26953125" customWidth="1"/>
    <col min="11" max="11" width="24.54296875" customWidth="1"/>
  </cols>
  <sheetData>
    <row r="1" spans="1:11" x14ac:dyDescent="0.35">
      <c r="A1" s="4" t="s">
        <v>74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6" t="s">
        <v>84</v>
      </c>
    </row>
    <row r="2" spans="1:11" x14ac:dyDescent="0.35">
      <c r="A2" s="9" t="s">
        <v>85</v>
      </c>
      <c r="B2" s="2">
        <v>1850000</v>
      </c>
      <c r="C2" s="2">
        <v>740000</v>
      </c>
      <c r="D2" s="2">
        <v>1110000</v>
      </c>
      <c r="E2" s="2">
        <v>60</v>
      </c>
      <c r="F2" s="2">
        <v>320000</v>
      </c>
      <c r="G2" s="2">
        <v>790000</v>
      </c>
      <c r="H2" s="2">
        <v>42.702702702702702</v>
      </c>
      <c r="I2" s="2">
        <v>280000</v>
      </c>
      <c r="J2" s="2">
        <v>15.1351351351351</v>
      </c>
      <c r="K2" s="3" t="s">
        <v>86</v>
      </c>
    </row>
    <row r="3" spans="1:11" x14ac:dyDescent="0.35">
      <c r="A3" s="9" t="s">
        <v>87</v>
      </c>
      <c r="B3" s="2">
        <v>2120000</v>
      </c>
      <c r="C3" s="2">
        <v>830000</v>
      </c>
      <c r="D3" s="2">
        <v>1290000</v>
      </c>
      <c r="E3" s="2">
        <v>60.849056603773597</v>
      </c>
      <c r="F3" s="2">
        <v>345000</v>
      </c>
      <c r="G3" s="2">
        <v>945000</v>
      </c>
      <c r="H3" s="2">
        <v>44.575471698113198</v>
      </c>
      <c r="I3" s="2">
        <v>310000</v>
      </c>
      <c r="J3" s="2">
        <v>14.622641509434001</v>
      </c>
      <c r="K3" s="3" t="s">
        <v>86</v>
      </c>
    </row>
    <row r="4" spans="1:11" x14ac:dyDescent="0.35">
      <c r="A4" s="9" t="s">
        <v>88</v>
      </c>
      <c r="B4" s="2">
        <v>2450000</v>
      </c>
      <c r="C4" s="2">
        <v>960000</v>
      </c>
      <c r="D4" s="2">
        <v>1490000</v>
      </c>
      <c r="E4" s="2">
        <v>60.816326530612201</v>
      </c>
      <c r="F4" s="2">
        <v>370000</v>
      </c>
      <c r="G4" s="2">
        <v>1120000</v>
      </c>
      <c r="H4" s="2">
        <v>45.714285714285701</v>
      </c>
      <c r="I4" s="2">
        <v>395000</v>
      </c>
      <c r="J4" s="2">
        <v>16.122448979591798</v>
      </c>
      <c r="K4" s="3" t="s">
        <v>86</v>
      </c>
    </row>
    <row r="5" spans="1:11" x14ac:dyDescent="0.35">
      <c r="A5" s="9" t="s">
        <v>89</v>
      </c>
      <c r="B5" s="2">
        <v>2780000</v>
      </c>
      <c r="C5" s="2">
        <v>1080000</v>
      </c>
      <c r="D5" s="2">
        <v>1700000</v>
      </c>
      <c r="E5" s="2">
        <v>61.151079136690697</v>
      </c>
      <c r="F5" s="2">
        <v>410000</v>
      </c>
      <c r="G5" s="2">
        <v>1290000</v>
      </c>
      <c r="H5" s="2">
        <v>46.402877697841703</v>
      </c>
      <c r="I5" s="2">
        <v>460000</v>
      </c>
      <c r="J5" s="2">
        <v>16.5467625899281</v>
      </c>
      <c r="K5" s="3" t="s">
        <v>86</v>
      </c>
    </row>
    <row r="6" spans="1:11" x14ac:dyDescent="0.35">
      <c r="A6" s="9" t="s">
        <v>90</v>
      </c>
      <c r="B6" s="2">
        <v>2040000</v>
      </c>
      <c r="C6" s="2">
        <v>800000</v>
      </c>
      <c r="D6" s="2">
        <v>1240000</v>
      </c>
      <c r="E6" s="2">
        <v>60.7843137254902</v>
      </c>
      <c r="F6" s="2">
        <v>335000</v>
      </c>
      <c r="G6" s="2">
        <v>905000</v>
      </c>
      <c r="H6" s="2">
        <v>44.362745098039198</v>
      </c>
      <c r="I6" s="2">
        <v>310000</v>
      </c>
      <c r="J6" s="2">
        <v>15.1960784313725</v>
      </c>
      <c r="K6" s="3">
        <v>10.3</v>
      </c>
    </row>
    <row r="7" spans="1:11" x14ac:dyDescent="0.35">
      <c r="A7" s="9" t="s">
        <v>91</v>
      </c>
      <c r="B7" s="2">
        <v>2390000</v>
      </c>
      <c r="C7" s="2">
        <v>920000</v>
      </c>
      <c r="D7" s="2">
        <v>1470000</v>
      </c>
      <c r="E7" s="2">
        <v>61.506276150627599</v>
      </c>
      <c r="F7" s="2">
        <v>358000</v>
      </c>
      <c r="G7" s="2">
        <v>1112000</v>
      </c>
      <c r="H7" s="2">
        <v>46.527196652719702</v>
      </c>
      <c r="I7" s="2">
        <v>365000</v>
      </c>
      <c r="J7" s="2">
        <v>15.2719665271967</v>
      </c>
      <c r="K7" s="3">
        <v>12.7</v>
      </c>
    </row>
    <row r="8" spans="1:11" x14ac:dyDescent="0.35">
      <c r="A8" s="9" t="s">
        <v>92</v>
      </c>
      <c r="B8" s="2">
        <v>2810000</v>
      </c>
      <c r="C8" s="2">
        <v>1085000</v>
      </c>
      <c r="D8" s="2">
        <v>1725000</v>
      </c>
      <c r="E8" s="2">
        <v>61.387900355871899</v>
      </c>
      <c r="F8" s="2">
        <v>390000</v>
      </c>
      <c r="G8" s="2">
        <v>1335000</v>
      </c>
      <c r="H8" s="2">
        <v>47.508896797153</v>
      </c>
      <c r="I8" s="2">
        <v>455000</v>
      </c>
      <c r="J8" s="2">
        <v>16.1921708185053</v>
      </c>
      <c r="K8" s="3">
        <v>14.7</v>
      </c>
    </row>
    <row r="9" spans="1:11" x14ac:dyDescent="0.35">
      <c r="A9" s="9" t="s">
        <v>93</v>
      </c>
      <c r="B9" s="2">
        <v>3150000</v>
      </c>
      <c r="C9" s="2">
        <v>1210000</v>
      </c>
      <c r="D9" s="2">
        <v>1940000</v>
      </c>
      <c r="E9" s="2">
        <v>61.587301587301603</v>
      </c>
      <c r="F9" s="2">
        <v>430000</v>
      </c>
      <c r="G9" s="2">
        <v>1510000</v>
      </c>
      <c r="H9" s="2">
        <v>47.936507936507901</v>
      </c>
      <c r="I9" s="2">
        <v>530000</v>
      </c>
      <c r="J9" s="2">
        <v>16.825396825396801</v>
      </c>
      <c r="K9" s="3">
        <v>13.3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HR</vt:lpstr>
      <vt:lpstr>Financial_KPIs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Ventos,Iris,FR-Issy-les-Moulineaux,IT Analytics Data &amp; Integration</dc:creator>
  <cp:lastModifiedBy>Ventos,Iris,FR-Issy-les-Moulineaux,IT Analytics Data &amp;</cp:lastModifiedBy>
  <dcterms:created xsi:type="dcterms:W3CDTF">2026-05-19T09:55:54Z</dcterms:created>
  <dcterms:modified xsi:type="dcterms:W3CDTF">2026-05-19T10:08:20Z</dcterms:modified>
</cp:coreProperties>
</file>